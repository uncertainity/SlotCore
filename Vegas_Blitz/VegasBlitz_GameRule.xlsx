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Game Rules" sheetId="1" r:id="rId1"/>
    <sheet name="Implementation" sheetId="2" r:id="rId2"/>
  </sheets>
  <calcPr calcId="144525" iterateDelta="1E-4"/>
</workbook>
</file>

<file path=xl/calcChain.xml><?xml version="1.0" encoding="utf-8"?>
<calcChain xmlns="http://schemas.openxmlformats.org/spreadsheetml/2006/main">
  <c r="Y63" i="2" l="1"/>
  <c r="Y62" i="2"/>
  <c r="Y18" i="2"/>
</calcChain>
</file>

<file path=xl/sharedStrings.xml><?xml version="1.0" encoding="utf-8"?>
<sst xmlns="http://schemas.openxmlformats.org/spreadsheetml/2006/main" count="183" uniqueCount="150">
  <si>
    <t>Grid</t>
  </si>
  <si>
    <t>4x6</t>
  </si>
  <si>
    <t>4096 ways</t>
  </si>
  <si>
    <t>Bet = 20</t>
  </si>
  <si>
    <t>This is a 6x4 window ways game with 4096 ways with all symbols paying left to right, except Scatter.</t>
  </si>
  <si>
    <t>Symbols</t>
  </si>
  <si>
    <t>Wild Symbols appears on reel 2-6 in base game and reels 2-4 in Free spins (FS).</t>
  </si>
  <si>
    <t>5 HV</t>
  </si>
  <si>
    <t>Wild substitutes for all but special symbols.</t>
  </si>
  <si>
    <t>6 LV</t>
  </si>
  <si>
    <t>Collect symbol can appear on Reel 1 and Reel 6 onli in base game and VB spins only.</t>
  </si>
  <si>
    <t xml:space="preserve">Special symbols - </t>
  </si>
  <si>
    <t>3 or more Scatter symbols trigger feature and a feature selection window is prompted.</t>
  </si>
  <si>
    <t>Wild</t>
  </si>
  <si>
    <t>appears on reel 2-6 in base game and 2-4 in FS</t>
  </si>
  <si>
    <t>The multipliers on WILDs multiply individually to the win whether WILD is in the participating win or not.</t>
  </si>
  <si>
    <t>Scatter</t>
  </si>
  <si>
    <t>Scatter wins are not multiplied by the Wild multiplier.</t>
  </si>
  <si>
    <t>COR and 4 JP</t>
  </si>
  <si>
    <t>cash symbols</t>
  </si>
  <si>
    <t>Collect</t>
  </si>
  <si>
    <t>appears on reel 1 and 6 in base game and CB spins</t>
  </si>
  <si>
    <t>Scat count</t>
  </si>
  <si>
    <t>Option 1</t>
  </si>
  <si>
    <t>Option 2</t>
  </si>
  <si>
    <t>8 FS</t>
  </si>
  <si>
    <t>3 VB spins</t>
  </si>
  <si>
    <t>12 FS</t>
  </si>
  <si>
    <t>4 VB spins</t>
  </si>
  <si>
    <t>Symbols Paytable</t>
  </si>
  <si>
    <t>20 FS</t>
  </si>
  <si>
    <t>6 VB spins</t>
  </si>
  <si>
    <t>of a Kind</t>
  </si>
  <si>
    <t>30 FS</t>
  </si>
  <si>
    <t>8 VB spins</t>
  </si>
  <si>
    <t>A</t>
  </si>
  <si>
    <t>PIC 1</t>
  </si>
  <si>
    <t>B</t>
  </si>
  <si>
    <t>PIC 2</t>
  </si>
  <si>
    <t>Collect feature</t>
  </si>
  <si>
    <t>C</t>
  </si>
  <si>
    <t>PIC 3</t>
  </si>
  <si>
    <t>Land a Collect symbol to trigger this feature.</t>
  </si>
  <si>
    <t>D</t>
  </si>
  <si>
    <t>PIC 4</t>
  </si>
  <si>
    <t>Every Collect symbol independently awards all landed CORs and Jackpots.</t>
  </si>
  <si>
    <t>E</t>
  </si>
  <si>
    <t>PIC 5</t>
  </si>
  <si>
    <t xml:space="preserve">COR, JP and Collect don't appear in FS. </t>
  </si>
  <si>
    <t>F</t>
  </si>
  <si>
    <t>Ace</t>
  </si>
  <si>
    <t>CORs are multiplied by the total bet and have values between 0.5x - 2000x, including Jackpots.</t>
  </si>
  <si>
    <t>G</t>
  </si>
  <si>
    <t>King</t>
  </si>
  <si>
    <t>H</t>
  </si>
  <si>
    <t>Queen</t>
  </si>
  <si>
    <t>Free Spins (FS)</t>
  </si>
  <si>
    <t>I</t>
  </si>
  <si>
    <t>Jack</t>
  </si>
  <si>
    <t>2,3,4,5 or 6 Scatter awards 5,8,12,20,30 additional FS.</t>
  </si>
  <si>
    <t>J</t>
  </si>
  <si>
    <t>Ten</t>
  </si>
  <si>
    <t>A multiplier of 2, 3 or 5 is awarded per Wild symbol in any win, except the scatter win.</t>
  </si>
  <si>
    <t>K</t>
  </si>
  <si>
    <t>Nine</t>
  </si>
  <si>
    <t>S</t>
  </si>
  <si>
    <t>pays anywhere</t>
  </si>
  <si>
    <t>Special symbols besides Wild and Bonus do not appear in FS.</t>
  </si>
  <si>
    <t>Vegas Blitz spins (VB spins)</t>
  </si>
  <si>
    <t>new</t>
  </si>
  <si>
    <t>Only COR, JP and Collect symbol appear in the game.</t>
  </si>
  <si>
    <t xml:space="preserve">Jackpot </t>
  </si>
  <si>
    <t>Prize (xBet)</t>
  </si>
  <si>
    <t>Collect Feature is guaranteed in each spin.</t>
  </si>
  <si>
    <t>Grand</t>
  </si>
  <si>
    <t>There are No retriggers.</t>
  </si>
  <si>
    <t>Major</t>
  </si>
  <si>
    <t>Minor</t>
  </si>
  <si>
    <t>Mini</t>
  </si>
  <si>
    <t>Bet</t>
  </si>
  <si>
    <t>Base RTP</t>
  </si>
  <si>
    <t>Buy Bonus</t>
  </si>
  <si>
    <t>Cost</t>
  </si>
  <si>
    <t>RTP</t>
  </si>
  <si>
    <t>STD.</t>
  </si>
  <si>
    <t>Feature Hit Rate</t>
  </si>
  <si>
    <t>Blitz feature</t>
  </si>
  <si>
    <t>FG feature</t>
  </si>
  <si>
    <t>Blitz feature RTP</t>
  </si>
  <si>
    <t>4 scat</t>
  </si>
  <si>
    <t>80x</t>
  </si>
  <si>
    <t>Free Spins RTP</t>
  </si>
  <si>
    <t>5 scat</t>
  </si>
  <si>
    <t>95x</t>
  </si>
  <si>
    <t>STD</t>
  </si>
  <si>
    <t>6 scat</t>
  </si>
  <si>
    <t>110x</t>
  </si>
  <si>
    <t>Game RTP (blitz feature)</t>
  </si>
  <si>
    <t>Game RTP (free spins)</t>
  </si>
  <si>
    <t>Base game</t>
  </si>
  <si>
    <t>Step 1</t>
  </si>
  <si>
    <t>6x4 window is generated from base game reelsets B1 and B2 using weights from below table.</t>
  </si>
  <si>
    <t>Step 2</t>
  </si>
  <si>
    <t>Trigger for additional COR is checked and if true, CORs are added anywhere on the screen except on Collect, Wild and Scatter based on below tables.</t>
  </si>
  <si>
    <t>Reelsets</t>
  </si>
  <si>
    <t>Weights</t>
  </si>
  <si>
    <t>Trigger</t>
  </si>
  <si>
    <t># of CORs</t>
  </si>
  <si>
    <t>B1</t>
  </si>
  <si>
    <t>Yes</t>
  </si>
  <si>
    <t>B2</t>
  </si>
  <si>
    <t>No</t>
  </si>
  <si>
    <t>Step 3</t>
  </si>
  <si>
    <t>This will be the final window. Check for left to right ways wins and anywhere Scatter wins.</t>
  </si>
  <si>
    <t>Step 4</t>
  </si>
  <si>
    <t>Check for Collect symbol appearance on Reel 1 and Reel 6. If Collect is there, collect the CORs present on the screen for each Collect individually.</t>
  </si>
  <si>
    <t>COR value table for base game</t>
  </si>
  <si>
    <t>COR (xBet)</t>
  </si>
  <si>
    <t>Step 5</t>
  </si>
  <si>
    <t>Collected CORs are multiplied by the total bet. Three wins are to be displayed - line wins, scatter wins and COR wins.</t>
  </si>
  <si>
    <t>Step 6</t>
  </si>
  <si>
    <t>If 3 or more Scatters appear on the Base game window, feature will be triggered.</t>
  </si>
  <si>
    <t>Features</t>
  </si>
  <si>
    <t>Feature Option 1:</t>
  </si>
  <si>
    <t>Free Games Feature</t>
  </si>
  <si>
    <t>Depending on the number of Scatters, 8, 12, 20 and 30 Free games are awarded for 3, 4, 5 and 6 Scatters, respectively.</t>
  </si>
  <si>
    <t>Use Reelset F1 to create the window. Assign multipliers to WILDs with below weights.</t>
  </si>
  <si>
    <t>Multiplier Value</t>
  </si>
  <si>
    <t>Calculate left to right ways wins and left to right Scatter wins. Collect and CORs will not appear in this feature option.</t>
  </si>
  <si>
    <t>Check for retriggers where 2, 3, 4, 5 or 6 Scatters awards 5, 8, 12, 20, 30 additional Free games.</t>
  </si>
  <si>
    <t>Same reelset as used on the feature trigger time will be used for additional spins too.</t>
  </si>
  <si>
    <t>Once all free games exhaust, exit the feature.</t>
  </si>
  <si>
    <t>Feature Option 2:</t>
  </si>
  <si>
    <t>Blitz Feature</t>
  </si>
  <si>
    <t>Depending on the number of Scatters, 3, 4, 6 and 8 Blitz spins are awarded by 3, 4, 5 and 6 Scatters, respectively.</t>
  </si>
  <si>
    <t xml:space="preserve">Using the weights, we will decide whether 1 or 2 Collect symbols will appear on the window on Reels 1 and 6. </t>
  </si>
  <si>
    <t>1 Reel can have a maximum of 1 Collect symbol and the entire window will contain a minimum of 1 Collect symbol in this feature.</t>
  </si>
  <si>
    <t># of Collect</t>
  </si>
  <si>
    <t>For all positions besides the ones occupied by the Collect, we will check for potential occurrence of CORs.</t>
  </si>
  <si>
    <t>COR occurrence</t>
  </si>
  <si>
    <t>If no COR appears on the screen, add 1 COR. (Forcing condition)</t>
  </si>
  <si>
    <t>Assign the values from below tables. Good table will be used exactly for one COR per each spin and Bad table will be used for all other CORs.</t>
  </si>
  <si>
    <t>COR values (xBet)</t>
  </si>
  <si>
    <t>Good table weights</t>
  </si>
  <si>
    <t>Bad table weights</t>
  </si>
  <si>
    <t>Each Collect will collect the CORs on the screen. COR values are multiplied by the total bet.</t>
  </si>
  <si>
    <t>Step 7</t>
  </si>
  <si>
    <t>Screen resets on every spin.</t>
  </si>
  <si>
    <t xml:space="preserve">Step 8 </t>
  </si>
  <si>
    <t>When all the Spins exhaust, exit the feature.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</si>
</sst>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0%"/>
    <numFmt numFmtId="165" formatCode="0.000"/>
    <numFmt numFmtId="166" formatCode="0.000%"/>
    <numFmt numFmtId="167" formatCode="0.0"/>
    <numFmt numFmtId="168" formatCode="0.00000000"/>
  </numFmts>
  <fonts count="6">
    <font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theme="1"/>
      <name val="Liberation Sans"/>
      <charset val="1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thin">
        <color auto="1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auto="1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auto="1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9" fontId="1" fillId="0" borderId="0" applyBorder="0" applyProtection="0"/>
  </cellStyleXfs>
  <cellXfs count="68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3" fillId="0" borderId="0" xfId="0" applyFont="1"/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1" applyNumberFormat="1" applyFont="1" applyBorder="1" applyAlignment="1" applyProtection="1">
      <alignment horizontal="center"/>
    </xf>
    <xf numFmtId="164" fontId="3" fillId="0" borderId="0" xfId="1" applyNumberFormat="1" applyFont="1" applyBorder="1" applyProtection="1"/>
    <xf numFmtId="165" fontId="3" fillId="0" borderId="0" xfId="0" applyNumberFormat="1" applyFont="1"/>
    <xf numFmtId="0" fontId="0" fillId="0" borderId="23" xfId="0" applyBorder="1" applyAlignment="1">
      <alignment horizontal="center"/>
    </xf>
    <xf numFmtId="0" fontId="0" fillId="0" borderId="24" xfId="1" applyNumberFormat="1" applyFont="1" applyBorder="1" applyAlignment="1" applyProtection="1">
      <alignment horizontal="center"/>
    </xf>
    <xf numFmtId="166" fontId="0" fillId="0" borderId="0" xfId="1" applyNumberFormat="1" applyFont="1" applyBorder="1" applyAlignment="1" applyProtection="1">
      <alignment horizontal="center"/>
    </xf>
    <xf numFmtId="164" fontId="3" fillId="0" borderId="0" xfId="0" applyNumberFormat="1" applyFont="1"/>
    <xf numFmtId="0" fontId="0" fillId="0" borderId="25" xfId="0" applyBorder="1" applyAlignment="1">
      <alignment horizontal="center"/>
    </xf>
    <xf numFmtId="0" fontId="0" fillId="0" borderId="26" xfId="0" applyBorder="1"/>
    <xf numFmtId="0" fontId="0" fillId="0" borderId="27" xfId="0" applyBorder="1" applyAlignment="1">
      <alignment horizontal="center"/>
    </xf>
    <xf numFmtId="164" fontId="0" fillId="0" borderId="28" xfId="0" applyNumberFormat="1" applyBorder="1"/>
    <xf numFmtId="0" fontId="0" fillId="0" borderId="29" xfId="0" applyBorder="1"/>
    <xf numFmtId="0" fontId="0" fillId="0" borderId="30" xfId="0" applyBorder="1"/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165" fontId="0" fillId="0" borderId="28" xfId="0" applyNumberFormat="1" applyBorder="1"/>
    <xf numFmtId="166" fontId="0" fillId="0" borderId="28" xfId="0" applyNumberFormat="1" applyBorder="1"/>
    <xf numFmtId="0" fontId="4" fillId="0" borderId="0" xfId="0" applyFont="1" applyAlignment="1">
      <alignment horizontal="left"/>
    </xf>
    <xf numFmtId="10" fontId="0" fillId="0" borderId="29" xfId="0" applyNumberFormat="1" applyBorder="1" applyAlignment="1">
      <alignment horizontal="center"/>
    </xf>
    <xf numFmtId="167" fontId="0" fillId="0" borderId="34" xfId="0" applyNumberFormat="1" applyBorder="1"/>
    <xf numFmtId="0" fontId="0" fillId="0" borderId="35" xfId="0" applyBorder="1" applyAlignment="1">
      <alignment horizontal="center"/>
    </xf>
    <xf numFmtId="166" fontId="0" fillId="0" borderId="36" xfId="0" applyNumberFormat="1" applyBorder="1"/>
    <xf numFmtId="0" fontId="0" fillId="0" borderId="37" xfId="0" applyBorder="1" applyAlignment="1">
      <alignment horizontal="center"/>
    </xf>
    <xf numFmtId="10" fontId="0" fillId="0" borderId="38" xfId="0" applyNumberFormat="1" applyBorder="1"/>
    <xf numFmtId="0" fontId="5" fillId="0" borderId="39" xfId="0" applyFont="1" applyBorder="1"/>
    <xf numFmtId="10" fontId="0" fillId="0" borderId="40" xfId="0" applyNumberFormat="1" applyBorder="1"/>
    <xf numFmtId="0" fontId="0" fillId="0" borderId="41" xfId="0" applyBorder="1"/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168" fontId="0" fillId="0" borderId="0" xfId="0" applyNumberFormat="1"/>
    <xf numFmtId="0" fontId="2" fillId="0" borderId="5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6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abSelected="1" topLeftCell="A21" zoomScaleNormal="100" workbookViewId="0">
      <selection activeCell="D52" sqref="D52"/>
    </sheetView>
  </sheetViews>
  <sheetFormatPr defaultColWidth="8.6640625" defaultRowHeight="14.4"/>
  <cols>
    <col min="2" max="2" width="22.5546875" customWidth="1"/>
    <col min="3" max="3" width="14.44140625" customWidth="1"/>
    <col min="4" max="4" width="13.33203125" customWidth="1"/>
    <col min="5" max="5" width="12.6640625" customWidth="1"/>
    <col min="6" max="6" width="14.5546875" customWidth="1"/>
    <col min="7" max="7" width="9.6640625" customWidth="1"/>
    <col min="8" max="8" width="11.44140625" customWidth="1"/>
    <col min="9" max="9" width="11.6640625" customWidth="1"/>
    <col min="10" max="10" width="11.33203125" customWidth="1"/>
    <col min="11" max="11" width="10.88671875" customWidth="1"/>
    <col min="12" max="12" width="10.5546875" customWidth="1"/>
  </cols>
  <sheetData>
    <row r="1" spans="1:12">
      <c r="B1" s="1"/>
      <c r="D1" t="s">
        <v>0</v>
      </c>
      <c r="E1" t="s">
        <v>1</v>
      </c>
      <c r="F1" t="s">
        <v>2</v>
      </c>
    </row>
    <row r="2" spans="1:12">
      <c r="B2" s="1" t="s">
        <v>3</v>
      </c>
      <c r="J2" t="s">
        <v>4</v>
      </c>
    </row>
    <row r="3" spans="1:12">
      <c r="B3" t="s">
        <v>5</v>
      </c>
      <c r="J3" t="s">
        <v>6</v>
      </c>
    </row>
    <row r="4" spans="1:12">
      <c r="B4" t="s">
        <v>7</v>
      </c>
      <c r="J4" t="s">
        <v>8</v>
      </c>
    </row>
    <row r="5" spans="1:12">
      <c r="B5" t="s">
        <v>9</v>
      </c>
      <c r="J5" t="s">
        <v>10</v>
      </c>
    </row>
    <row r="6" spans="1:12">
      <c r="B6" t="s">
        <v>11</v>
      </c>
      <c r="J6" t="s">
        <v>12</v>
      </c>
    </row>
    <row r="7" spans="1:12">
      <c r="B7" t="s">
        <v>13</v>
      </c>
      <c r="C7" t="s">
        <v>14</v>
      </c>
      <c r="J7" t="s">
        <v>15</v>
      </c>
    </row>
    <row r="8" spans="1:12">
      <c r="B8" t="s">
        <v>16</v>
      </c>
      <c r="J8" t="s">
        <v>17</v>
      </c>
    </row>
    <row r="9" spans="1:12" ht="15" thickBot="1">
      <c r="B9" t="s">
        <v>18</v>
      </c>
      <c r="C9" t="s">
        <v>19</v>
      </c>
    </row>
    <row r="10" spans="1:12" ht="15" thickBot="1">
      <c r="B10" t="s">
        <v>20</v>
      </c>
      <c r="C10" t="s">
        <v>21</v>
      </c>
      <c r="J10" s="2" t="s">
        <v>22</v>
      </c>
      <c r="K10" s="3" t="s">
        <v>23</v>
      </c>
      <c r="L10" s="4" t="s">
        <v>24</v>
      </c>
    </row>
    <row r="11" spans="1:12">
      <c r="J11" s="5">
        <v>3</v>
      </c>
      <c r="K11" s="6" t="s">
        <v>25</v>
      </c>
      <c r="L11" s="7" t="s">
        <v>26</v>
      </c>
    </row>
    <row r="12" spans="1:12">
      <c r="J12" s="8">
        <v>4</v>
      </c>
      <c r="K12" s="8" t="s">
        <v>27</v>
      </c>
      <c r="L12" s="9" t="s">
        <v>28</v>
      </c>
    </row>
    <row r="13" spans="1:12" ht="15" thickBot="1">
      <c r="B13" t="s">
        <v>29</v>
      </c>
      <c r="J13" s="8">
        <v>5</v>
      </c>
      <c r="K13" s="8" t="s">
        <v>30</v>
      </c>
      <c r="L13" s="9" t="s">
        <v>31</v>
      </c>
    </row>
    <row r="14" spans="1:12" ht="15" thickBot="1">
      <c r="B14" s="10" t="s">
        <v>32</v>
      </c>
      <c r="C14" s="11">
        <v>2</v>
      </c>
      <c r="D14" s="11">
        <v>3</v>
      </c>
      <c r="E14" s="11">
        <v>4</v>
      </c>
      <c r="F14" s="11">
        <v>5</v>
      </c>
      <c r="G14" s="12">
        <v>6</v>
      </c>
      <c r="J14" s="13">
        <v>6</v>
      </c>
      <c r="K14" s="13" t="s">
        <v>33</v>
      </c>
      <c r="L14" s="14" t="s">
        <v>34</v>
      </c>
    </row>
    <row r="15" spans="1:12">
      <c r="A15" t="s">
        <v>35</v>
      </c>
      <c r="B15" s="15" t="s">
        <v>36</v>
      </c>
      <c r="C15" s="16">
        <v>20</v>
      </c>
      <c r="D15" s="16">
        <v>30</v>
      </c>
      <c r="E15" s="16">
        <v>40</v>
      </c>
      <c r="F15" s="16">
        <v>50</v>
      </c>
      <c r="G15" s="17">
        <v>100</v>
      </c>
    </row>
    <row r="16" spans="1:12">
      <c r="A16" t="s">
        <v>37</v>
      </c>
      <c r="B16" s="15" t="s">
        <v>38</v>
      </c>
      <c r="C16" s="16">
        <v>10</v>
      </c>
      <c r="D16" s="16">
        <v>20</v>
      </c>
      <c r="E16" s="16">
        <v>30</v>
      </c>
      <c r="F16" s="16">
        <v>40</v>
      </c>
      <c r="G16" s="17">
        <v>50</v>
      </c>
      <c r="J16" s="1" t="s">
        <v>39</v>
      </c>
    </row>
    <row r="17" spans="1:10">
      <c r="A17" t="s">
        <v>40</v>
      </c>
      <c r="B17" s="15" t="s">
        <v>41</v>
      </c>
      <c r="C17" s="16">
        <v>10</v>
      </c>
      <c r="D17" s="16">
        <v>20</v>
      </c>
      <c r="E17" s="16">
        <v>30</v>
      </c>
      <c r="F17" s="16">
        <v>40</v>
      </c>
      <c r="G17" s="17">
        <v>50</v>
      </c>
      <c r="J17" t="s">
        <v>42</v>
      </c>
    </row>
    <row r="18" spans="1:10">
      <c r="A18" t="s">
        <v>43</v>
      </c>
      <c r="B18" s="15" t="s">
        <v>44</v>
      </c>
      <c r="C18" s="16">
        <v>4</v>
      </c>
      <c r="D18" s="16">
        <v>16</v>
      </c>
      <c r="E18" s="16">
        <v>24</v>
      </c>
      <c r="F18" s="16">
        <v>30</v>
      </c>
      <c r="G18" s="17">
        <v>40</v>
      </c>
      <c r="J18" t="s">
        <v>45</v>
      </c>
    </row>
    <row r="19" spans="1:10">
      <c r="A19" t="s">
        <v>46</v>
      </c>
      <c r="B19" s="15" t="s">
        <v>47</v>
      </c>
      <c r="C19" s="16">
        <v>4</v>
      </c>
      <c r="D19" s="16">
        <v>16</v>
      </c>
      <c r="E19" s="16">
        <v>24</v>
      </c>
      <c r="F19" s="16">
        <v>30</v>
      </c>
      <c r="G19" s="17">
        <v>40</v>
      </c>
      <c r="J19" t="s">
        <v>48</v>
      </c>
    </row>
    <row r="20" spans="1:10">
      <c r="A20" t="s">
        <v>49</v>
      </c>
      <c r="B20" s="15" t="s">
        <v>50</v>
      </c>
      <c r="C20" s="16"/>
      <c r="D20" s="16">
        <v>10</v>
      </c>
      <c r="E20" s="16">
        <v>20</v>
      </c>
      <c r="F20" s="16">
        <v>24</v>
      </c>
      <c r="G20" s="17">
        <v>30</v>
      </c>
      <c r="J20" t="s">
        <v>51</v>
      </c>
    </row>
    <row r="21" spans="1:10">
      <c r="A21" t="s">
        <v>52</v>
      </c>
      <c r="B21" s="15" t="s">
        <v>53</v>
      </c>
      <c r="C21" s="16"/>
      <c r="D21" s="16">
        <v>10</v>
      </c>
      <c r="E21" s="16">
        <v>20</v>
      </c>
      <c r="F21" s="16">
        <v>24</v>
      </c>
      <c r="G21" s="17">
        <v>30</v>
      </c>
    </row>
    <row r="22" spans="1:10">
      <c r="A22" t="s">
        <v>54</v>
      </c>
      <c r="B22" s="15" t="s">
        <v>55</v>
      </c>
      <c r="C22" s="16"/>
      <c r="D22" s="16">
        <v>8</v>
      </c>
      <c r="E22" s="16">
        <v>16</v>
      </c>
      <c r="F22" s="16">
        <v>20</v>
      </c>
      <c r="G22" s="17">
        <v>24</v>
      </c>
      <c r="J22" s="1" t="s">
        <v>56</v>
      </c>
    </row>
    <row r="23" spans="1:10">
      <c r="A23" t="s">
        <v>57</v>
      </c>
      <c r="B23" s="15" t="s">
        <v>58</v>
      </c>
      <c r="C23" s="16"/>
      <c r="D23" s="16">
        <v>8</v>
      </c>
      <c r="E23" s="16">
        <v>16</v>
      </c>
      <c r="F23" s="16">
        <v>20</v>
      </c>
      <c r="G23" s="17">
        <v>24</v>
      </c>
      <c r="J23" t="s">
        <v>59</v>
      </c>
    </row>
    <row r="24" spans="1:10">
      <c r="A24" t="s">
        <v>60</v>
      </c>
      <c r="B24" s="15" t="s">
        <v>61</v>
      </c>
      <c r="C24" s="16"/>
      <c r="D24" s="16">
        <v>6</v>
      </c>
      <c r="E24" s="16">
        <v>10</v>
      </c>
      <c r="F24" s="16">
        <v>16</v>
      </c>
      <c r="G24" s="17">
        <v>20</v>
      </c>
      <c r="J24" t="s">
        <v>62</v>
      </c>
    </row>
    <row r="25" spans="1:10">
      <c r="A25" t="s">
        <v>63</v>
      </c>
      <c r="B25" s="15" t="s">
        <v>64</v>
      </c>
      <c r="C25" s="16"/>
      <c r="D25" s="16">
        <v>6</v>
      </c>
      <c r="E25" s="16">
        <v>10</v>
      </c>
      <c r="F25" s="16">
        <v>16</v>
      </c>
      <c r="G25" s="17">
        <v>20</v>
      </c>
      <c r="J25" t="s">
        <v>17</v>
      </c>
    </row>
    <row r="26" spans="1:10" ht="15" thickBot="1">
      <c r="A26" t="s">
        <v>65</v>
      </c>
      <c r="B26" s="18" t="s">
        <v>16</v>
      </c>
      <c r="C26" s="19"/>
      <c r="D26" s="19">
        <v>20</v>
      </c>
      <c r="E26" s="19">
        <v>40</v>
      </c>
      <c r="F26" s="19">
        <v>60</v>
      </c>
      <c r="G26" s="20">
        <v>100</v>
      </c>
      <c r="H26" t="s">
        <v>66</v>
      </c>
      <c r="J26" t="s">
        <v>67</v>
      </c>
    </row>
    <row r="28" spans="1:10">
      <c r="J28" s="1" t="s">
        <v>68</v>
      </c>
    </row>
    <row r="29" spans="1:10" ht="15" thickBot="1">
      <c r="F29" s="21" t="s">
        <v>69</v>
      </c>
      <c r="J29" t="s">
        <v>70</v>
      </c>
    </row>
    <row r="30" spans="1:10" ht="15" thickBot="1">
      <c r="C30" s="22" t="s">
        <v>71</v>
      </c>
      <c r="D30" s="23" t="s">
        <v>72</v>
      </c>
      <c r="E30" s="16"/>
      <c r="F30" s="21"/>
      <c r="J30" t="s">
        <v>73</v>
      </c>
    </row>
    <row r="31" spans="1:10">
      <c r="C31" s="24" t="s">
        <v>74</v>
      </c>
      <c r="D31" s="25">
        <v>2000</v>
      </c>
      <c r="E31" s="16"/>
      <c r="F31" s="26"/>
      <c r="J31" t="s">
        <v>75</v>
      </c>
    </row>
    <row r="32" spans="1:10">
      <c r="C32" s="24" t="s">
        <v>76</v>
      </c>
      <c r="D32" s="25">
        <v>250</v>
      </c>
      <c r="E32" s="16"/>
      <c r="F32" s="27"/>
    </row>
    <row r="33" spans="2:11">
      <c r="C33" s="24" t="s">
        <v>77</v>
      </c>
      <c r="D33" s="25">
        <v>25</v>
      </c>
      <c r="F33" s="26"/>
    </row>
    <row r="34" spans="2:11" ht="15" thickBot="1">
      <c r="C34" s="28" t="s">
        <v>78</v>
      </c>
      <c r="D34" s="29">
        <v>10</v>
      </c>
      <c r="F34" s="26"/>
    </row>
    <row r="35" spans="2:11">
      <c r="C35" s="16"/>
      <c r="D35" s="16"/>
      <c r="E35" s="16"/>
      <c r="F35" s="21"/>
      <c r="J35" s="1"/>
    </row>
    <row r="36" spans="2:11">
      <c r="C36" s="16"/>
      <c r="D36" s="30"/>
      <c r="E36" s="16"/>
      <c r="F36" s="31"/>
    </row>
    <row r="37" spans="2:11">
      <c r="C37" s="16"/>
      <c r="D37" s="16"/>
      <c r="F37" s="31"/>
    </row>
    <row r="38" spans="2:11" ht="15" thickBot="1">
      <c r="C38" s="16"/>
      <c r="D38" s="16"/>
      <c r="F38" s="21"/>
    </row>
    <row r="39" spans="2:11">
      <c r="B39" s="32" t="s">
        <v>79</v>
      </c>
      <c r="C39" s="33">
        <v>20</v>
      </c>
    </row>
    <row r="40" spans="2:11">
      <c r="B40" s="34" t="s">
        <v>80</v>
      </c>
      <c r="C40" s="35">
        <v>0.60990272999999995</v>
      </c>
      <c r="F40" s="36" t="s">
        <v>81</v>
      </c>
      <c r="G40" s="37" t="s">
        <v>82</v>
      </c>
      <c r="H40" s="38" t="s">
        <v>83</v>
      </c>
      <c r="I40" s="39"/>
      <c r="J40" s="40" t="s">
        <v>84</v>
      </c>
      <c r="K40" s="41"/>
    </row>
    <row r="41" spans="2:11">
      <c r="B41" s="34" t="s">
        <v>85</v>
      </c>
      <c r="C41" s="42">
        <v>230.206075875002</v>
      </c>
      <c r="F41" s="36"/>
      <c r="G41" s="37"/>
      <c r="H41" s="36" t="s">
        <v>86</v>
      </c>
      <c r="I41" s="36" t="s">
        <v>87</v>
      </c>
      <c r="J41" s="36" t="s">
        <v>86</v>
      </c>
      <c r="K41" s="36" t="s">
        <v>87</v>
      </c>
    </row>
    <row r="42" spans="2:11">
      <c r="B42" s="34" t="s">
        <v>88</v>
      </c>
      <c r="C42" s="43">
        <v>0.33117368129859998</v>
      </c>
      <c r="D42" s="44"/>
      <c r="F42" s="36" t="s">
        <v>89</v>
      </c>
      <c r="G42" s="37" t="s">
        <v>90</v>
      </c>
      <c r="H42" s="45">
        <v>0.94318500000000005</v>
      </c>
      <c r="I42" s="45">
        <v>0.94319952387499995</v>
      </c>
      <c r="J42" s="46">
        <v>97.893774030000003</v>
      </c>
      <c r="K42" s="46">
        <v>121.728076220326</v>
      </c>
    </row>
    <row r="43" spans="2:11" ht="15" thickBot="1">
      <c r="B43" s="47" t="s">
        <v>91</v>
      </c>
      <c r="C43" s="48">
        <v>0.33116183109714498</v>
      </c>
      <c r="D43" s="44"/>
      <c r="F43" s="36" t="s">
        <v>92</v>
      </c>
      <c r="G43" s="37" t="s">
        <v>93</v>
      </c>
      <c r="H43" s="45">
        <v>0.94179553452631604</v>
      </c>
      <c r="I43" s="45">
        <v>0.94178947368421095</v>
      </c>
      <c r="J43" s="46">
        <v>94.873030459999995</v>
      </c>
      <c r="K43" s="46">
        <v>126.461340228941</v>
      </c>
    </row>
    <row r="44" spans="2:11" ht="15" thickBot="1">
      <c r="B44" s="16"/>
      <c r="D44" s="49" t="s">
        <v>94</v>
      </c>
      <c r="F44" s="36" t="s">
        <v>95</v>
      </c>
      <c r="G44" s="37" t="s">
        <v>96</v>
      </c>
      <c r="H44" s="45">
        <v>0.94334568181818201</v>
      </c>
      <c r="I44" s="45">
        <v>0.94334224790909105</v>
      </c>
      <c r="J44" s="46">
        <v>93.221169700000004</v>
      </c>
      <c r="K44" s="46">
        <v>139.119266464562</v>
      </c>
    </row>
    <row r="45" spans="2:11">
      <c r="B45" s="32" t="s">
        <v>97</v>
      </c>
      <c r="C45" s="50">
        <v>0.94107641129859998</v>
      </c>
      <c r="D45" s="51">
        <v>11.084036713436101</v>
      </c>
    </row>
    <row r="46" spans="2:11" ht="15" thickBot="1">
      <c r="B46" s="47" t="s">
        <v>98</v>
      </c>
      <c r="C46" s="52">
        <v>0.94106896608272494</v>
      </c>
      <c r="D46" s="53">
        <v>10.150796652420899</v>
      </c>
    </row>
    <row r="47" spans="2:11">
      <c r="C47" s="21"/>
      <c r="D47" s="21"/>
    </row>
    <row r="49" spans="2:2">
      <c r="B49" s="1"/>
    </row>
    <row r="51" spans="2:2">
      <c r="B51" s="1"/>
    </row>
  </sheetData>
  <mergeCells count="2">
    <mergeCell ref="H40:I40"/>
    <mergeCell ref="J40:K4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Y67"/>
  <sheetViews>
    <sheetView zoomScale="91" zoomScaleNormal="91" workbookViewId="0">
      <selection activeCell="F58" sqref="F58"/>
    </sheetView>
  </sheetViews>
  <sheetFormatPr defaultColWidth="8.6640625" defaultRowHeight="14.4"/>
  <cols>
    <col min="2" max="2" width="18.6640625" customWidth="1"/>
    <col min="25" max="25" width="13.6640625" customWidth="1"/>
  </cols>
  <sheetData>
    <row r="2" spans="1:24">
      <c r="A2" t="s">
        <v>99</v>
      </c>
    </row>
    <row r="4" spans="1:24">
      <c r="A4" t="s">
        <v>100</v>
      </c>
      <c r="B4" t="s">
        <v>101</v>
      </c>
    </row>
    <row r="5" spans="1:24">
      <c r="A5" t="s">
        <v>102</v>
      </c>
      <c r="B5" t="s">
        <v>103</v>
      </c>
    </row>
    <row r="7" spans="1:24" ht="15" thickBot="1">
      <c r="B7" s="2" t="s">
        <v>104</v>
      </c>
      <c r="C7" s="12" t="s">
        <v>105</v>
      </c>
      <c r="E7" s="2" t="s">
        <v>106</v>
      </c>
      <c r="F7" s="10" t="s">
        <v>105</v>
      </c>
      <c r="H7" s="2" t="s">
        <v>107</v>
      </c>
      <c r="I7" s="12" t="s">
        <v>105</v>
      </c>
    </row>
    <row r="8" spans="1:24">
      <c r="B8" s="54" t="s">
        <v>108</v>
      </c>
      <c r="C8" s="17">
        <v>58</v>
      </c>
      <c r="E8" s="54" t="s">
        <v>109</v>
      </c>
      <c r="F8" s="15">
        <v>1</v>
      </c>
      <c r="H8" s="55">
        <v>1</v>
      </c>
      <c r="I8" s="56">
        <v>240</v>
      </c>
    </row>
    <row r="9" spans="1:24" ht="15" thickBot="1">
      <c r="B9" s="57" t="s">
        <v>110</v>
      </c>
      <c r="C9" s="20">
        <v>42</v>
      </c>
      <c r="E9" s="57" t="s">
        <v>111</v>
      </c>
      <c r="F9" s="18">
        <v>9</v>
      </c>
      <c r="H9" s="54">
        <v>2</v>
      </c>
      <c r="I9" s="17">
        <v>200</v>
      </c>
    </row>
    <row r="10" spans="1:24">
      <c r="H10" s="54">
        <v>3</v>
      </c>
      <c r="I10" s="17">
        <v>150</v>
      </c>
    </row>
    <row r="11" spans="1:24">
      <c r="H11" s="54">
        <v>4</v>
      </c>
      <c r="I11" s="17">
        <v>100</v>
      </c>
    </row>
    <row r="12" spans="1:24" ht="15" thickBot="1">
      <c r="H12" s="57">
        <v>5</v>
      </c>
      <c r="I12" s="20">
        <v>80</v>
      </c>
    </row>
    <row r="14" spans="1:24">
      <c r="A14" t="s">
        <v>112</v>
      </c>
      <c r="B14" t="s">
        <v>113</v>
      </c>
    </row>
    <row r="15" spans="1:24">
      <c r="A15" t="s">
        <v>114</v>
      </c>
      <c r="B15" t="s">
        <v>115</v>
      </c>
    </row>
    <row r="16" spans="1:24" ht="15" thickBot="1">
      <c r="B16" t="s">
        <v>116</v>
      </c>
      <c r="Q16" s="1" t="s">
        <v>78</v>
      </c>
      <c r="S16" s="1" t="s">
        <v>77</v>
      </c>
      <c r="T16" s="1"/>
      <c r="U16" s="1"/>
      <c r="V16" s="1" t="s">
        <v>76</v>
      </c>
      <c r="X16" s="1" t="s">
        <v>74</v>
      </c>
    </row>
    <row r="17" spans="1:25">
      <c r="B17" s="58" t="s">
        <v>117</v>
      </c>
      <c r="C17" s="59">
        <v>0.5</v>
      </c>
      <c r="D17" s="59">
        <v>1</v>
      </c>
      <c r="E17" s="59">
        <v>1.5</v>
      </c>
      <c r="F17" s="59">
        <v>2</v>
      </c>
      <c r="G17" s="59">
        <v>2.5</v>
      </c>
      <c r="H17" s="59">
        <v>3</v>
      </c>
      <c r="I17" s="59">
        <v>3.5</v>
      </c>
      <c r="J17" s="59">
        <v>4</v>
      </c>
      <c r="K17" s="59">
        <v>5</v>
      </c>
      <c r="L17" s="59">
        <v>6</v>
      </c>
      <c r="M17" s="59">
        <v>7</v>
      </c>
      <c r="N17" s="59">
        <v>7.5</v>
      </c>
      <c r="O17" s="59">
        <v>8</v>
      </c>
      <c r="P17" s="59">
        <v>9</v>
      </c>
      <c r="Q17" s="59">
        <v>10</v>
      </c>
      <c r="R17" s="59">
        <v>12.5</v>
      </c>
      <c r="S17" s="59">
        <v>25</v>
      </c>
      <c r="T17" s="59">
        <v>50</v>
      </c>
      <c r="U17" s="59">
        <v>125</v>
      </c>
      <c r="V17" s="59">
        <v>250</v>
      </c>
      <c r="W17" s="59">
        <v>500</v>
      </c>
      <c r="X17" s="59">
        <v>2000</v>
      </c>
    </row>
    <row r="18" spans="1:25" ht="15" thickBot="1">
      <c r="B18" s="60" t="s">
        <v>105</v>
      </c>
      <c r="C18" s="61">
        <v>7000</v>
      </c>
      <c r="D18" s="62">
        <v>6000</v>
      </c>
      <c r="E18" s="62">
        <v>6000</v>
      </c>
      <c r="F18" s="62">
        <v>5000</v>
      </c>
      <c r="G18" s="62">
        <v>3000</v>
      </c>
      <c r="H18" s="62">
        <v>3000</v>
      </c>
      <c r="I18" s="62">
        <v>2500</v>
      </c>
      <c r="J18" s="62">
        <v>2000</v>
      </c>
      <c r="K18" s="62">
        <v>1000</v>
      </c>
      <c r="L18" s="62">
        <v>1000</v>
      </c>
      <c r="M18" s="62">
        <v>1000</v>
      </c>
      <c r="N18" s="62">
        <v>100</v>
      </c>
      <c r="O18" s="62">
        <v>100</v>
      </c>
      <c r="P18" s="62">
        <v>50</v>
      </c>
      <c r="Q18" s="62">
        <v>50</v>
      </c>
      <c r="R18" s="62">
        <v>50</v>
      </c>
      <c r="S18" s="62">
        <v>30</v>
      </c>
      <c r="T18" s="62">
        <v>20</v>
      </c>
      <c r="U18" s="62">
        <v>10</v>
      </c>
      <c r="V18" s="62">
        <v>10</v>
      </c>
      <c r="W18" s="62">
        <v>5</v>
      </c>
      <c r="X18" s="63">
        <v>1</v>
      </c>
      <c r="Y18" s="64">
        <f>SUMPRODUCT(C18:X18,C17:X17)/SUM(C18:X18)</f>
        <v>2.4488477561567263</v>
      </c>
    </row>
    <row r="20" spans="1:25">
      <c r="A20" t="s">
        <v>118</v>
      </c>
      <c r="B20" t="s">
        <v>119</v>
      </c>
    </row>
    <row r="21" spans="1:25">
      <c r="A21" t="s">
        <v>120</v>
      </c>
      <c r="B21" t="s">
        <v>121</v>
      </c>
    </row>
    <row r="23" spans="1:25">
      <c r="A23" t="s">
        <v>122</v>
      </c>
    </row>
    <row r="24" spans="1:25">
      <c r="A24" t="s">
        <v>123</v>
      </c>
      <c r="C24" t="s">
        <v>124</v>
      </c>
    </row>
    <row r="26" spans="1:25">
      <c r="A26" t="s">
        <v>100</v>
      </c>
      <c r="B26" t="s">
        <v>125</v>
      </c>
    </row>
    <row r="27" spans="1:25">
      <c r="A27" t="s">
        <v>102</v>
      </c>
      <c r="B27" t="s">
        <v>126</v>
      </c>
    </row>
    <row r="28" spans="1:25">
      <c r="B28" t="s">
        <v>15</v>
      </c>
    </row>
    <row r="30" spans="1:25" ht="15" thickBot="1">
      <c r="B30" s="2" t="s">
        <v>127</v>
      </c>
      <c r="C30" s="12" t="s">
        <v>105</v>
      </c>
    </row>
    <row r="31" spans="1:25">
      <c r="B31" s="54">
        <v>1</v>
      </c>
      <c r="C31" s="17">
        <v>0</v>
      </c>
    </row>
    <row r="32" spans="1:25">
      <c r="B32" s="54">
        <v>2</v>
      </c>
      <c r="C32" s="17">
        <v>480</v>
      </c>
    </row>
    <row r="33" spans="1:3">
      <c r="B33" s="54">
        <v>3</v>
      </c>
      <c r="C33" s="17">
        <v>545</v>
      </c>
    </row>
    <row r="34" spans="1:3" ht="15" thickBot="1">
      <c r="B34" s="57">
        <v>5</v>
      </c>
      <c r="C34" s="20">
        <v>360</v>
      </c>
    </row>
    <row r="36" spans="1:3">
      <c r="A36" t="s">
        <v>112</v>
      </c>
      <c r="B36" t="s">
        <v>128</v>
      </c>
    </row>
    <row r="37" spans="1:3">
      <c r="A37" t="s">
        <v>114</v>
      </c>
      <c r="B37" t="s">
        <v>129</v>
      </c>
    </row>
    <row r="38" spans="1:3">
      <c r="A38" t="s">
        <v>118</v>
      </c>
      <c r="B38" t="s">
        <v>130</v>
      </c>
    </row>
    <row r="39" spans="1:3">
      <c r="A39" t="s">
        <v>120</v>
      </c>
      <c r="B39" t="s">
        <v>131</v>
      </c>
    </row>
    <row r="42" spans="1:3">
      <c r="A42" t="s">
        <v>132</v>
      </c>
      <c r="C42" t="s">
        <v>133</v>
      </c>
    </row>
    <row r="44" spans="1:3">
      <c r="A44" t="s">
        <v>100</v>
      </c>
      <c r="B44" t="s">
        <v>134</v>
      </c>
    </row>
    <row r="45" spans="1:3">
      <c r="A45" t="s">
        <v>102</v>
      </c>
      <c r="B45" t="s">
        <v>135</v>
      </c>
    </row>
    <row r="46" spans="1:3">
      <c r="B46" t="s">
        <v>136</v>
      </c>
    </row>
    <row r="48" spans="1:3" ht="15" thickBot="1">
      <c r="B48" s="2" t="s">
        <v>137</v>
      </c>
      <c r="C48" s="12" t="s">
        <v>105</v>
      </c>
    </row>
    <row r="49" spans="1:25">
      <c r="B49" s="54">
        <v>1</v>
      </c>
      <c r="C49" s="17">
        <v>75</v>
      </c>
    </row>
    <row r="50" spans="1:25" ht="15" thickBot="1">
      <c r="B50" s="57">
        <v>2</v>
      </c>
      <c r="C50" s="20">
        <v>25</v>
      </c>
    </row>
    <row r="52" spans="1:25">
      <c r="A52" t="s">
        <v>112</v>
      </c>
      <c r="B52" t="s">
        <v>138</v>
      </c>
    </row>
    <row r="54" spans="1:25" ht="15" thickBot="1">
      <c r="B54" s="2" t="s">
        <v>139</v>
      </c>
      <c r="C54" s="12" t="s">
        <v>105</v>
      </c>
    </row>
    <row r="55" spans="1:25">
      <c r="B55" s="54" t="s">
        <v>109</v>
      </c>
      <c r="C55" s="17">
        <v>26</v>
      </c>
    </row>
    <row r="56" spans="1:25" ht="15" thickBot="1">
      <c r="B56" s="57" t="s">
        <v>111</v>
      </c>
      <c r="C56" s="20">
        <v>74</v>
      </c>
    </row>
    <row r="57" spans="1:25">
      <c r="B57" s="16"/>
      <c r="C57" s="16"/>
    </row>
    <row r="58" spans="1:25">
      <c r="A58" t="s">
        <v>114</v>
      </c>
      <c r="B58" t="s">
        <v>140</v>
      </c>
    </row>
    <row r="59" spans="1:25">
      <c r="A59" t="s">
        <v>118</v>
      </c>
      <c r="B59" t="s">
        <v>141</v>
      </c>
    </row>
    <row r="60" spans="1:25" ht="15" thickBot="1">
      <c r="Q60" s="1" t="s">
        <v>78</v>
      </c>
      <c r="S60" s="1" t="s">
        <v>77</v>
      </c>
      <c r="T60" s="1"/>
      <c r="U60" s="1"/>
      <c r="V60" s="1" t="s">
        <v>76</v>
      </c>
      <c r="X60" s="1" t="s">
        <v>74</v>
      </c>
    </row>
    <row r="61" spans="1:25" ht="15" thickBot="1">
      <c r="B61" s="65" t="s">
        <v>142</v>
      </c>
      <c r="C61" s="36">
        <v>0.5</v>
      </c>
      <c r="D61" s="36">
        <v>1</v>
      </c>
      <c r="E61" s="36">
        <v>1.5</v>
      </c>
      <c r="F61" s="36">
        <v>2</v>
      </c>
      <c r="G61" s="36">
        <v>2.5</v>
      </c>
      <c r="H61" s="36">
        <v>3</v>
      </c>
      <c r="I61" s="36">
        <v>3.5</v>
      </c>
      <c r="J61" s="36">
        <v>4</v>
      </c>
      <c r="K61" s="36">
        <v>5</v>
      </c>
      <c r="L61" s="36">
        <v>6</v>
      </c>
      <c r="M61" s="36">
        <v>7</v>
      </c>
      <c r="N61" s="36">
        <v>7.5</v>
      </c>
      <c r="O61" s="36">
        <v>8</v>
      </c>
      <c r="P61" s="36">
        <v>9</v>
      </c>
      <c r="Q61" s="36">
        <v>10</v>
      </c>
      <c r="R61" s="36">
        <v>12.5</v>
      </c>
      <c r="S61" s="36">
        <v>25</v>
      </c>
      <c r="T61" s="36">
        <v>50</v>
      </c>
      <c r="U61" s="36">
        <v>125</v>
      </c>
      <c r="V61" s="36">
        <v>250</v>
      </c>
      <c r="W61" s="36">
        <v>500</v>
      </c>
      <c r="X61" s="36">
        <v>2000</v>
      </c>
    </row>
    <row r="62" spans="1:25" ht="15" thickBot="1">
      <c r="B62" s="66" t="s">
        <v>143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606</v>
      </c>
      <c r="K62" s="11">
        <v>893</v>
      </c>
      <c r="L62" s="11">
        <v>600</v>
      </c>
      <c r="M62" s="11">
        <v>600</v>
      </c>
      <c r="N62" s="11">
        <v>500</v>
      </c>
      <c r="O62" s="11">
        <v>500</v>
      </c>
      <c r="P62" s="11">
        <v>500</v>
      </c>
      <c r="Q62" s="11">
        <v>500</v>
      </c>
      <c r="R62" s="11">
        <v>400</v>
      </c>
      <c r="S62" s="11">
        <v>300</v>
      </c>
      <c r="T62" s="11">
        <v>100</v>
      </c>
      <c r="U62" s="11">
        <v>30</v>
      </c>
      <c r="V62" s="11">
        <v>10</v>
      </c>
      <c r="W62" s="11">
        <v>10</v>
      </c>
      <c r="X62" s="12">
        <v>3</v>
      </c>
      <c r="Y62">
        <f>SUMPRODUCT(C62:X62,$C$61:$X$61)/SUM(C62:X62)</f>
        <v>12.01170749279539</v>
      </c>
    </row>
    <row r="63" spans="1:25" ht="15" thickBot="1">
      <c r="B63" s="67" t="s">
        <v>144</v>
      </c>
      <c r="C63" s="19">
        <v>17500</v>
      </c>
      <c r="D63" s="19">
        <v>7000</v>
      </c>
      <c r="E63" s="19">
        <v>3000</v>
      </c>
      <c r="F63" s="19">
        <v>2500</v>
      </c>
      <c r="G63" s="19">
        <v>2000</v>
      </c>
      <c r="H63" s="19">
        <v>2000</v>
      </c>
      <c r="I63" s="19">
        <v>1500</v>
      </c>
      <c r="J63" s="19">
        <v>1000</v>
      </c>
      <c r="K63" s="19">
        <v>1000</v>
      </c>
      <c r="L63" s="19">
        <v>500</v>
      </c>
      <c r="M63" s="19">
        <v>500</v>
      </c>
      <c r="N63" s="19">
        <v>100</v>
      </c>
      <c r="O63" s="19">
        <v>100</v>
      </c>
      <c r="P63" s="19">
        <v>50</v>
      </c>
      <c r="Q63" s="19">
        <v>50</v>
      </c>
      <c r="R63" s="19">
        <v>50</v>
      </c>
      <c r="S63" s="19">
        <v>30</v>
      </c>
      <c r="T63" s="19">
        <v>20</v>
      </c>
      <c r="U63" s="19">
        <v>10</v>
      </c>
      <c r="V63" s="19">
        <v>0</v>
      </c>
      <c r="W63" s="19">
        <v>0</v>
      </c>
      <c r="X63" s="20">
        <v>0</v>
      </c>
      <c r="Y63">
        <f>SUMPRODUCT(C63:X63,$C$61:$X$61)/SUM(C63:X63)</f>
        <v>1.6223335903366745</v>
      </c>
    </row>
    <row r="65" spans="1:2">
      <c r="A65" t="s">
        <v>120</v>
      </c>
      <c r="B65" t="s">
        <v>145</v>
      </c>
    </row>
    <row r="66" spans="1:2">
      <c r="A66" t="s">
        <v>146</v>
      </c>
      <c r="B66" t="s">
        <v>147</v>
      </c>
    </row>
    <row r="67" spans="1:2">
      <c r="A67" t="s">
        <v>148</v>
      </c>
      <c r="B67" t="s">
        <v>149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Game Rules</vt:lpstr>
      <vt:lpstr>Implementation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2026-06-09T15:23:25Z</dcterms:created>
  <dcterms:modified xsi:type="dcterms:W3CDTF">2026-06-09T15:25:00Z</dcterms:modified>
</cp:coreProperties>
</file>